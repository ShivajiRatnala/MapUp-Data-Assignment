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tna\Mapup-mocktest\MapUp-DA-Assessment-2024\"/>
    </mc:Choice>
  </mc:AlternateContent>
  <xr:revisionPtr revIDLastSave="0" documentId="13_ncr:1_{3C9E600A-2095-4E13-8E93-FF6645BE24DD}" xr6:coauthVersionLast="47" xr6:coauthVersionMax="47" xr10:uidLastSave="{00000000-0000-0000-0000-000000000000}"/>
  <bookViews>
    <workbookView xWindow="-110" yWindow="-110" windowWidth="19420" windowHeight="1102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 a="1"/>
  <c r="C23" i="20" s="1"/>
  <c r="D30" i="18"/>
  <c r="C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6" i="18" a="1"/>
  <c r="F6" i="18" s="1"/>
  <c r="E6" i="18" a="1"/>
  <c r="E6" i="18" s="1"/>
  <c r="D6" i="18" a="1"/>
  <c r="D6" i="18" s="1"/>
  <c r="C6" i="18" a="1"/>
  <c r="C6" i="18" s="1"/>
  <c r="B6" i="18" a="1"/>
  <c r="B6" i="18" s="1"/>
  <c r="C22" i="19"/>
  <c r="C24" i="20" a="1"/>
  <c r="C24" i="20" s="1"/>
  <c r="C25" i="20" a="1"/>
  <c r="C25" i="20" s="1"/>
  <c r="C26" i="20" a="1"/>
  <c r="C26" i="20" s="1"/>
  <c r="C27" i="20" a="1"/>
  <c r="C27" i="20"/>
  <c r="C28" i="20" a="1"/>
  <c r="C28" i="20" s="1"/>
  <c r="C29" i="20" a="1"/>
  <c r="C29" i="20" s="1"/>
  <c r="C30" i="20" a="1"/>
  <c r="C30" i="20" s="1"/>
  <c r="C31" i="20" a="1"/>
  <c r="C31" i="20"/>
  <c r="C32" i="20" a="1"/>
  <c r="C32" i="20" s="1"/>
  <c r="C33" i="20" a="1"/>
  <c r="C33" i="20" s="1"/>
  <c r="C34" i="20" a="1"/>
  <c r="C34" i="20" s="1"/>
  <c r="C35" i="20" a="1"/>
  <c r="C35" i="2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<sst xmlns="http://schemas.openxmlformats.org/spreadsheetml/2006/main" count="409" uniqueCount="186">
  <si>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</si>
  <si>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</si>
  <si>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</si>
  <si>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</si>
  <si>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</si>
  <si>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</si>
  <si>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</si>
  <si>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</si>
  <si>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</si>
  <si>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</si>
  <si>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</si>
  <si>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</si>
  <si>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</si>
  <si>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</si>
  <si>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</si>
  <si>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</si>
  <si>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</si>
  <si>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</si>
  <si>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</si>
  <si>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</si>
  <si>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</si>
  <si>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</si>
  <si>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</si>
  <si>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</si>
  <si>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</si>
  <si>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</si>
  <si>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</si>
  <si>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</si>
  <si>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</si>
  <si>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</si>
  <si>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</si>
  <si>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</si>
  <si>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</si>
  <si>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</si>
  <si>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</si>
  <si>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</si>
  <si>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</si>
  <si>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</si>
  <si>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</si>
  <si>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</si>
  <si>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</si>
  <si>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</si>
  <si>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</si>
  <si>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</si>
  <si>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</si>
  <si>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</si>
  <si>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</si>
  <si>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</si>
  <si>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</si>
  <si>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</si>
  <si>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</si>
  <si>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</si>
  <si>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</si>
  <si>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</si>
  <si>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</si>
  <si>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</si>
  <si>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</si>
  <si>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</si>
  <si>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</si>
  <si>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</si>
  <si>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</si>
  <si>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</si>
  <si>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</si>
  <si>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</si>
  <si>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</si>
  <si>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</si>
  <si>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</si>
  <si>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</si>
  <si>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</si>
  <si>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</si>
  <si>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</si>
  <si>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</si>
  <si>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</si>
  <si>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</si>
  <si>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</si>
  <si>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</si>
  <si>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</si>
  <si>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</si>
  <si>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</si>
  <si>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</si>
  <si>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</si>
  <si>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</si>
  <si>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</si>
  <si>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</si>
  <si>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</si>
  <si>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</si>
  <si>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</si>
  <si>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</si>
  <si>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</si>
  <si>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</si>
  <si>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</si>
  <si>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</si>
  <si>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</si>
  <si>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</si>
  <si>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</si>
  <si>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</si>
  <si>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</si>
  <si>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</si>
  <si>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</si>
  <si>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</si>
  <si>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</si>
  <si>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</si>
  <si>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</si>
  <si>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</si>
  <si>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</si>
  <si>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</si>
  <si>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</si>
  <si>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</si>
  <si>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</si>
  <si>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</si>
  <si>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</si>
  <si>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</si>
  <si>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</si>
  <si>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</si>
  <si>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</si>
  <si>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</si>
  <si>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</si>
  <si>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</si>
  <si>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</si>
  <si>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</si>
  <si>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</si>
  <si>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</si>
  <si>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</si>
  <si>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</si>
  <si>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</si>
  <si>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</si>
  <si>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</si>
  <si>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</si>
  <si>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</si>
  <si>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</si>
  <si>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</si>
  <si>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</si>
  <si>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</si>
  <si>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</si>
  <si>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</si>
  <si>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</si>
  <si>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</si>
  <si>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</si>
  <si>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</si>
  <si>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</si>
  <si>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</si>
  <si>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</si>
  <si>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</si>
  <si>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</si>
  <si>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</si>
  <si>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</si>
  <si>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</si>
  <si>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</si>
  <si>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</si>
  <si>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</si>
  <si>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</si>
  <si>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</si>
  <si>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</si>
  <si>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</si>
  <si>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</si>
  <si>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</si>
  <si>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</si>
  <si>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</si>
  <si>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</si>
  <si>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</si>
  <si>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</si>
  <si>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</si>
  <si>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</si>
  <si>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</si>
  <si>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</si>
  <si>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</si>
  <si>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</si>
  <si>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</si>
  <si>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</si>
  <si>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</si>
  <si>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</si>
  <si>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</si>
  <si>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</si>
  <si>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</si>
  <si>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</si>
  <si>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</si>
  <si>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</si>
  <si>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SUMIF(Dataset!H:H,"&gt;20",Dataset!H:H)</t>
  </si>
  <si>
    <t>cell to display the output and click finish.</t>
  </si>
  <si>
    <t xml:space="preserve">Using Text to column option. </t>
  </si>
  <si>
    <t xml:space="preserve">Select the data we want to split go to the data tab select text to column option and select delimiter and select </t>
  </si>
  <si>
    <t>Using find and replace option.</t>
  </si>
  <si>
    <r>
      <t>Select the Sales data column and use the shortcut key</t>
    </r>
    <r>
      <rPr>
        <b/>
        <sz val="11"/>
        <color rgb="FF000000"/>
        <rFont val="Calibri"/>
        <family val="2"/>
        <scheme val="minor"/>
      </rPr>
      <t xml:space="preserve"> ctrl+n </t>
    </r>
    <r>
      <rPr>
        <sz val="11"/>
        <color rgb="FF000000"/>
        <rFont val="Calibri"/>
        <family val="2"/>
        <scheme val="minor"/>
      </rPr>
      <t>to open the find and replace option add find value and replace values and click replace all.</t>
    </r>
  </si>
  <si>
    <t xml:space="preserve">using XlookUp formula </t>
  </si>
  <si>
    <t>First Select the first id Name1 in table C and select the total ids, Name in Table b this formula shows the name in Table C id next again we open vlookup and select Names, Total data in Table A this formula shows the values of Table C First id  and next, we find table c name2 id as a same pattern followed by finding A values .</t>
  </si>
  <si>
    <t xml:space="preserve">The look like this XLOOKUP(XLOOKUP(B23,$M$10:$M$18,$N$10:$N$18),$B$9:$J$9,XLOOKUP(XLOOKUP(A23,$M$10:$M$18,$N$10:$N$18),$A$10:$A$18,$B$10:$J$18))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</si>
</sst>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  <xf numFmtId="0" fontId="1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6"/>
      <tableStyleElement type="headerRow" dxfId="3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9C53C3-1C81-428D-96FF-3E951CF91A09}" name="Table1" displayName="Table1" ref="A1:X40" totalsRowShown="0" headerRowDxfId="0" dataDxfId="1">
  <autoFilter ref="A1:X40" xr:uid="{089C53C3-1C81-428D-96FF-3E951CF91A09}"/>
  <tableColumns count="24">
    <tableColumn id="1" xr3:uid="{D57E2A9A-C529-47B2-B735-E221E8822F34}" name="name" dataDxfId="25"/>
    <tableColumn id="2" xr3:uid="{6DA5142D-9E64-40D0-8C16-08D4EF37DEEB}" name="ID" dataDxfId="24"/>
    <tableColumn id="3" xr3:uid="{7881A7DC-4DC6-416A-8FC4-C589C02A03CC}" name="start_day" dataDxfId="23"/>
    <tableColumn id="4" xr3:uid="{682EFCD2-14EB-4807-8592-E914EAF6CD22}" name="start_time" dataDxfId="22"/>
    <tableColumn id="5" xr3:uid="{1F85645D-29B8-487A-A1D6-739F94469CBC}" name="end_day" dataDxfId="21"/>
    <tableColumn id="6" xr3:uid="{3E2B499F-868F-414E-9721-99D9C833CE54}" name="end_time" dataDxfId="20"/>
    <tableColumn id="7" xr3:uid="{1B7DB4B7-6B54-4B27-8841-9C7AD5A27223}" name="car1" dataDxfId="19"/>
    <tableColumn id="8" xr3:uid="{946A898A-E065-4F54-A16E-C432B4756E75}" name="car2" dataDxfId="18"/>
    <tableColumn id="9" xr3:uid="{A71F12B4-DB70-47F6-93EE-764C62DDCDBE}" name="car3" dataDxfId="17"/>
    <tableColumn id="10" xr3:uid="{B41925F5-8C4E-4B55-B3A4-FFCF71EF6E9C}" name="moto1" dataDxfId="16"/>
    <tableColumn id="11" xr3:uid="{4162219C-598F-4D8D-BAB8-3192D797FEEA}" name="moto2" dataDxfId="15"/>
    <tableColumn id="12" xr3:uid="{B438E5A8-16FA-4DB2-856D-0638E23C00CF}" name="moto3" dataDxfId="14"/>
    <tableColumn id="13" xr3:uid="{88F1911D-A7B7-49F7-BEB6-CA468023214B}" name="bus1" dataDxfId="13"/>
    <tableColumn id="14" xr3:uid="{9EF2648C-55FF-4F97-9D81-304FF486ADBA}" name="bus2" dataDxfId="12"/>
    <tableColumn id="15" xr3:uid="{37D46CB4-A1E5-4742-AB86-3B0A77B56879}" name="bus3" dataDxfId="11"/>
    <tableColumn id="16" xr3:uid="{46D899E1-C175-4D32-B7AA-2524903361A9}" name="rv1" dataDxfId="10"/>
    <tableColumn id="17" xr3:uid="{E51C1A6B-3BB1-4592-9394-1FB3E7EB8A3A}" name="rv2" dataDxfId="9"/>
    <tableColumn id="18" xr3:uid="{7995B32F-DF96-46F1-8DAD-5FA3A87BEF40}" name="rv3" dataDxfId="8"/>
    <tableColumn id="19" xr3:uid="{2FC5220A-431D-444A-87B4-88C553C85245}" name="truck1" dataDxfId="7"/>
    <tableColumn id="20" xr3:uid="{12A6A440-B8E8-4367-A216-277D96C70C03}" name="truck2" dataDxfId="6"/>
    <tableColumn id="21" xr3:uid="{6AF009E0-CD03-4DB2-8492-DCCD16E0EC56}" name="taxi1" dataDxfId="5"/>
    <tableColumn id="22" xr3:uid="{93F453BF-B607-4FC8-9FFD-05D1A59CF7D1}" name="taxi2" dataDxfId="4"/>
    <tableColumn id="23" xr3:uid="{189DA1A9-6748-4A71-B20A-0F1B57BD9FF2}" name="taxi3" dataDxfId="3"/>
    <tableColumn id="24" xr3:uid="{90D46C60-047A-41C7-B4FA-297AB1B04C3D}" name="dat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1" sqref="A11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topLeftCell="D1" zoomScaleNormal="100" workbookViewId="0">
      <pane ySplit="1" topLeftCell="A2" activePane="bottomLeft" state="frozen"/>
      <selection activeCell="J1" sqref="J1"/>
      <selection pane="bottomLeft" activeCell="E13" sqref="E13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11.8984375" style="1" customWidth="1"/>
    <col min="4" max="4" width="12.796875" style="24" customWidth="1"/>
    <col min="5" max="5" width="11" style="1" customWidth="1"/>
    <col min="6" max="6" width="11.8984375" style="24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2" priority="4"/>
  </conditionalFormatting>
  <conditionalFormatting sqref="B1:B1048576">
    <cfRule type="duplicateValues" dxfId="31" priority="3"/>
  </conditionalFormatting>
  <conditionalFormatting sqref="G2:W40">
    <cfRule type="cellIs" dxfId="26" priority="2" operator="equal">
      <formula>0</formula>
    </cfRule>
    <cfRule type="cellIs" dxfId="27" priority="1" operator="equal">
      <formula>-1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24" sqref="B24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33.19921875" style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G31" sqref="G31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163</v>
      </c>
    </row>
    <row r="2" spans="1:7" s="41" customFormat="1" ht="21" x14ac:dyDescent="0.5">
      <c r="B2" s="41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161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 cm="1">
        <f t="array" ref="B6:B27">_xlfn.XLOOKUP(A6:A27,Dataset!A2:A40,Dataset!G2:G40)</f>
        <v>2.7</v>
      </c>
      <c r="C6" s="12" cm="1">
        <f t="array" ref="C6:C27">_xlfn.XLOOKUP(A6:A27,Dataset!A:A,Dataset!N:N)</f>
        <v>7.6</v>
      </c>
      <c r="D6" s="12" cm="1">
        <f t="array" ref="D6:D27">_xlfn.XLOOKUP(A6:A27,Dataset!A2:A40,Dataset!R2:R40)</f>
        <v>4.2</v>
      </c>
      <c r="E6" s="12" cm="1">
        <f t="array" ref="E6:E27">_xlfn.XLOOKUP(A6:A27,Dataset!A2:A40,Dataset!T2:T40)</f>
        <v>8.9</v>
      </c>
      <c r="F6" s="8" cm="1">
        <f t="array" ref="F6:F27">_xlfn.XLOOKUP(A6:A27,Dataset!A2:A40,Dataset!V2:V40)</f>
        <v>4.2</v>
      </c>
    </row>
    <row r="7" spans="1:7" ht="14.5" x14ac:dyDescent="0.35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4.5" x14ac:dyDescent="0.35">
      <c r="A8" s="7" t="s">
        <v>7</v>
      </c>
      <c r="B8" s="1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4.5" x14ac:dyDescent="0.35">
      <c r="A9" s="7" t="s">
        <v>8</v>
      </c>
      <c r="B9" s="12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4.5" x14ac:dyDescent="0.35">
      <c r="A10" s="7" t="s">
        <v>11</v>
      </c>
      <c r="B10" s="12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5" x14ac:dyDescent="0.35">
      <c r="A11" s="7" t="s">
        <v>12</v>
      </c>
      <c r="B11" s="1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5" x14ac:dyDescent="0.35">
      <c r="A12" s="7" t="s">
        <v>14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5" x14ac:dyDescent="0.35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5" x14ac:dyDescent="0.35">
      <c r="A14" s="7" t="s">
        <v>16</v>
      </c>
      <c r="B14" s="1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4.5" x14ac:dyDescent="0.35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4.5" x14ac:dyDescent="0.35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4.5" x14ac:dyDescent="0.35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4.5" x14ac:dyDescent="0.35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4.5" x14ac:dyDescent="0.35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4.5" x14ac:dyDescent="0.35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5" x14ac:dyDescent="0.35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4.5" x14ac:dyDescent="0.35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5" x14ac:dyDescent="0.35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4.5" x14ac:dyDescent="0.35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5" x14ac:dyDescent="0.35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4.5" x14ac:dyDescent="0.35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4.5" x14ac:dyDescent="0.35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4.5" x14ac:dyDescent="0.35">
      <c r="A28" s="19" t="s">
        <v>82</v>
      </c>
      <c r="B28" s="31">
        <f>MIN(_xlfn.ANCHORARRAY(B6))</f>
        <v>-1</v>
      </c>
      <c r="C28" s="31">
        <f t="shared" ref="C28:F28" si="0">MIN(_xlfn.ANCHORARRAY(C6))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5" x14ac:dyDescent="0.35">
      <c r="A29" s="19" t="s">
        <v>83</v>
      </c>
      <c r="B29" s="31">
        <f>MAX(_xlfn.ANCHORARRAY(B6))</f>
        <v>51.8</v>
      </c>
      <c r="C29" s="31">
        <f t="shared" ref="C29:F29" si="1">MAX(_xlfn.ANCHORARRAY(C6))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5" x14ac:dyDescent="0.35">
      <c r="A30" s="19" t="s">
        <v>84</v>
      </c>
      <c r="B30" s="31">
        <f>AVERAGE(_xlfn.ANCHORARRAY(B6))</f>
        <v>20.827272727272728</v>
      </c>
      <c r="C30" s="31">
        <f>AVERAGE(_xlfn.ANCHORARRAY(C6))</f>
        <v>62.377272727272725</v>
      </c>
      <c r="D30" s="31">
        <f>AVERAGE(_xlfn.ANCHORARRAY(D6))</f>
        <v>37.800000000000004</v>
      </c>
      <c r="E30" s="31">
        <f t="shared" ref="C30:F30" si="2">AVERAGE(_xlfn.ANCHORARRAY(E6))</f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2" zoomScaleNormal="100" workbookViewId="0">
      <selection activeCell="H9" sqref="H9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3" t="s">
        <v>53</v>
      </c>
      <c r="B5" s="47" t="s">
        <v>179</v>
      </c>
    </row>
    <row r="6" spans="1:10" ht="18.5" x14ac:dyDescent="0.45">
      <c r="A6" s="43" t="s">
        <v>152</v>
      </c>
      <c r="B6" s="47" t="s">
        <v>180</v>
      </c>
    </row>
    <row r="7" spans="1:10" ht="18.5" x14ac:dyDescent="0.45">
      <c r="A7" s="43"/>
      <c r="B7" s="48" t="s">
        <v>178</v>
      </c>
    </row>
    <row r="9" spans="1:10" ht="23.5" x14ac:dyDescent="0.55000000000000004">
      <c r="A9" s="18" t="s">
        <v>164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161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166</v>
      </c>
    </row>
    <row r="2" spans="1:3" ht="18.5" x14ac:dyDescent="0.45">
      <c r="B2" s="40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53</v>
      </c>
      <c r="B6" s="1" t="s">
        <v>181</v>
      </c>
    </row>
    <row r="7" spans="1:3" ht="14.5" x14ac:dyDescent="0.35">
      <c r="A7" s="3" t="s">
        <v>152</v>
      </c>
      <c r="B7" s="1" t="s">
        <v>182</v>
      </c>
    </row>
    <row r="10" spans="1:3" ht="23.5" x14ac:dyDescent="0.55000000000000004">
      <c r="A10" s="18" t="s">
        <v>161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>
        <v>20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>
        <v>20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153</v>
      </c>
      <c r="C17" s="17">
        <v>150</v>
      </c>
    </row>
    <row r="18" spans="1:3" ht="14.5" x14ac:dyDescent="0.35">
      <c r="A18" s="32">
        <v>44933</v>
      </c>
      <c r="B18" s="17" t="s">
        <v>154</v>
      </c>
      <c r="C18" s="17">
        <v>80</v>
      </c>
    </row>
    <row r="19" spans="1:3" ht="14.5" x14ac:dyDescent="0.35">
      <c r="A19" s="32">
        <v>44934</v>
      </c>
      <c r="B19" s="17" t="s">
        <v>155</v>
      </c>
      <c r="C19" s="17">
        <v>20</v>
      </c>
    </row>
    <row r="20" spans="1:3" ht="14.5" x14ac:dyDescent="0.35">
      <c r="A20" s="32">
        <v>44935</v>
      </c>
      <c r="B20" s="17" t="s">
        <v>156</v>
      </c>
      <c r="C20" s="17">
        <v>30</v>
      </c>
    </row>
    <row r="21" spans="1:3" ht="14.5" x14ac:dyDescent="0.35">
      <c r="A21" s="32">
        <v>44936</v>
      </c>
      <c r="B21" s="17" t="s">
        <v>157</v>
      </c>
      <c r="C21" s="17">
        <v>20</v>
      </c>
    </row>
    <row r="22" spans="1:3" ht="14.5" x14ac:dyDescent="0.35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L19" sqref="L19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174</v>
      </c>
    </row>
    <row r="3" spans="1:14" ht="14.5" x14ac:dyDescent="0.35">
      <c r="B3" s="1" t="s">
        <v>150</v>
      </c>
    </row>
    <row r="4" spans="1:14" ht="18.5" x14ac:dyDescent="0.45">
      <c r="A4" s="43" t="s">
        <v>53</v>
      </c>
      <c r="B4" s="1"/>
      <c r="C4" s="2" t="s">
        <v>183</v>
      </c>
    </row>
    <row r="5" spans="1:14" ht="18.5" x14ac:dyDescent="0.45">
      <c r="A5" s="43" t="s">
        <v>152</v>
      </c>
      <c r="B5" s="1" t="s">
        <v>184</v>
      </c>
    </row>
    <row r="6" spans="1:14" ht="14.5" x14ac:dyDescent="0.35">
      <c r="A6" s="3"/>
      <c r="B6" s="1"/>
    </row>
    <row r="7" spans="1:14" x14ac:dyDescent="0.3">
      <c r="B7" s="2" t="s">
        <v>185</v>
      </c>
    </row>
    <row r="8" spans="1:14" ht="23.5" x14ac:dyDescent="0.55000000000000004">
      <c r="A8" s="18" t="s">
        <v>161</v>
      </c>
      <c r="M8" s="18" t="s">
        <v>162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 cm="1">
        <f t="array" ref="C23">_xlfn.XLOOKUP(_xlfn.XLOOKUP(B23,$M$10:$M$18,$N$10:$N$18),$B$9:$J$9,_xlfn.XLOOKUP(_xlfn.XLOOKUP(A23,$M$10:$M$18,$N$10:$N$18),$A$10:$A$18,$B$10:$J$18))</f>
        <v>95</v>
      </c>
    </row>
    <row r="24" spans="1:14" ht="14.5" x14ac:dyDescent="0.35">
      <c r="A24" s="7">
        <v>10100</v>
      </c>
      <c r="B24" s="12">
        <v>10104</v>
      </c>
      <c r="C24" s="44" cm="1">
        <f t="array" ref="C24">_xlfn.XLOOKUP(_xlfn.XLOOKUP(B24,$M$10:$M$18,$N$10:$N$18),$B$9:$J$9,_xlfn.XLOOKUP(_xlfn.XLOOKUP(A24,$M$10:$M$18,$N$10:$N$18),$A$10:$A$18,$B$10:$J$18))</f>
        <v>-1</v>
      </c>
    </row>
    <row r="25" spans="1:14" ht="14.5" x14ac:dyDescent="0.35">
      <c r="A25" s="7">
        <v>10108</v>
      </c>
      <c r="B25" s="12">
        <v>10102</v>
      </c>
      <c r="C25" s="44" cm="1">
        <f t="array" ref="C25">_xlfn.XLOOKUP(_xlfn.XLOOKUP(B25,$M$10:$M$18,$N$10:$N$18),$B$9:$J$9,_xlfn.XLOOKUP(_xlfn.XLOOKUP(A25,$M$10:$M$18,$N$10:$N$18),$A$10:$A$18,$B$10:$J$18))</f>
        <v>160</v>
      </c>
    </row>
    <row r="26" spans="1:14" ht="14.5" x14ac:dyDescent="0.35">
      <c r="A26" s="7">
        <v>10100</v>
      </c>
      <c r="B26" s="12">
        <v>10106</v>
      </c>
      <c r="C26" s="44" cm="1">
        <f t="array" ref="C26">_xlfn.XLOOKUP(_xlfn.XLOOKUP(B26,$M$10:$M$18,$N$10:$N$18),$B$9:$J$9,_xlfn.XLOOKUP(_xlfn.XLOOKUP(A26,$M$10:$M$18,$N$10:$N$18),$A$10:$A$18,$B$10:$J$18))</f>
        <v>185</v>
      </c>
    </row>
    <row r="27" spans="1:14" ht="14.5" x14ac:dyDescent="0.35">
      <c r="A27" s="7">
        <v>10108</v>
      </c>
      <c r="B27" s="12">
        <v>10110</v>
      </c>
      <c r="C27" s="44" cm="1">
        <f t="array" ref="C27">_xlfn.XLOOKUP(_xlfn.XLOOKUP(B27,$M$10:$M$18,$N$10:$N$18),$B$9:$J$9,_xlfn.XLOOKUP(_xlfn.XLOOKUP(A27,$M$10:$M$18,$N$10:$N$18),$A$10:$A$18,$B$10:$J$18))</f>
        <v>50</v>
      </c>
    </row>
    <row r="28" spans="1:14" ht="14.5" x14ac:dyDescent="0.35">
      <c r="A28" s="7">
        <v>10102</v>
      </c>
      <c r="B28" s="12">
        <v>10104</v>
      </c>
      <c r="C28" s="44" cm="1">
        <f t="array" ref="C28">_xlfn.XLOOKUP(_xlfn.XLOOKUP(B28,$M$10:$M$18,$N$10:$N$18),$B$9:$J$9,_xlfn.XLOOKUP(_xlfn.XLOOKUP(A28,$M$10:$M$18,$N$10:$N$18),$A$10:$A$18,$B$10:$J$18))</f>
        <v>-1</v>
      </c>
    </row>
    <row r="29" spans="1:14" ht="14.5" x14ac:dyDescent="0.35">
      <c r="A29" s="7">
        <v>10106</v>
      </c>
      <c r="B29" s="12">
        <v>10108</v>
      </c>
      <c r="C29" s="44" cm="1">
        <f t="array" ref="C29">_xlfn.XLOOKUP(_xlfn.XLOOKUP(B29,$M$10:$M$18,$N$10:$N$18),$B$9:$J$9,_xlfn.XLOOKUP(_xlfn.XLOOKUP(A29,$M$10:$M$18,$N$10:$N$18),$A$10:$A$18,$B$10:$J$18))</f>
        <v>70</v>
      </c>
    </row>
    <row r="30" spans="1:14" ht="14.5" x14ac:dyDescent="0.35">
      <c r="A30" s="7">
        <v>10102</v>
      </c>
      <c r="B30" s="12">
        <v>10106</v>
      </c>
      <c r="C30" s="44" cm="1">
        <f t="array" ref="C30">_xlfn.XLOOKUP(_xlfn.XLOOKUP(B30,$M$10:$M$18,$N$10:$N$18),$B$9:$J$9,_xlfn.XLOOKUP(_xlfn.XLOOKUP(A30,$M$10:$M$18,$N$10:$N$18),$A$10:$A$18,$B$10:$J$18))</f>
        <v>90</v>
      </c>
    </row>
    <row r="31" spans="1:14" ht="14.5" x14ac:dyDescent="0.35">
      <c r="A31" s="7">
        <v>10110</v>
      </c>
      <c r="B31" s="12">
        <v>10114</v>
      </c>
      <c r="C31" s="44" cm="1">
        <f t="array" ref="C31">_xlfn.XLOOKUP(_xlfn.XLOOKUP(B31,$M$10:$M$18,$N$10:$N$18),$B$9:$J$9,_xlfn.XLOOKUP(_xlfn.XLOOKUP(A31,$M$10:$M$18,$N$10:$N$18),$A$10:$A$18,$B$10:$J$18))</f>
        <v>180</v>
      </c>
    </row>
    <row r="32" spans="1:14" ht="14.5" x14ac:dyDescent="0.35">
      <c r="A32" s="7">
        <v>10104</v>
      </c>
      <c r="B32" s="12">
        <v>10106</v>
      </c>
      <c r="C32" s="44" cm="1">
        <f t="array" ref="C32">_xlfn.XLOOKUP(_xlfn.XLOOKUP(B32,$M$10:$M$18,$N$10:$N$18),$B$9:$J$9,_xlfn.XLOOKUP(_xlfn.XLOOKUP(A32,$M$10:$M$18,$N$10:$N$18),$A$10:$A$18,$B$10:$J$18))</f>
        <v>60</v>
      </c>
    </row>
    <row r="33" spans="1:3" ht="14.5" x14ac:dyDescent="0.35">
      <c r="A33" s="7">
        <v>10110</v>
      </c>
      <c r="B33" s="12">
        <v>10112</v>
      </c>
      <c r="C33" s="44" cm="1">
        <f t="array" ref="C33">_xlfn.XLOOKUP(_xlfn.XLOOKUP(B33,$M$10:$M$18,$N$10:$N$18),$B$9:$J$9,_xlfn.XLOOKUP(_xlfn.XLOOKUP(A33,$M$10:$M$18,$N$10:$N$18),$A$10:$A$18,$B$10:$J$18))</f>
        <v>115</v>
      </c>
    </row>
    <row r="34" spans="1:3" ht="14.5" x14ac:dyDescent="0.35">
      <c r="A34" s="7">
        <v>10100</v>
      </c>
      <c r="B34" s="12">
        <v>10114</v>
      </c>
      <c r="C34" s="44" cm="1">
        <f t="array" ref="C34">_xlfn.XLOOKUP(_xlfn.XLOOKUP(B34,$M$10:$M$18,$N$10:$N$18),$B$9:$J$9,_xlfn.XLOOKUP(_xlfn.XLOOKUP(A34,$M$10:$M$18,$N$10:$N$18),$A$10:$A$18,$B$10:$J$18))</f>
        <v>480</v>
      </c>
    </row>
    <row r="35" spans="1:3" ht="14.5" x14ac:dyDescent="0.35">
      <c r="A35" s="9">
        <v>10112</v>
      </c>
      <c r="B35" s="13">
        <v>10116</v>
      </c>
      <c r="C35" s="44" cm="1">
        <f t="array" ref="C35">_xlfn.XLOOKUP(_xlfn.XLOOKUP(B35,$M$10:$M$18,$N$10:$N$18),$B$9:$J$9,_xlfn.XLOOKUP(_xlfn.XLOOKUP(A35,$M$10:$M$18,$N$10:$N$18),$A$10:$A$18,$B$10:$J$18))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Shivaji Ratnala</cp:lastModifiedBy>
  <dcterms:created xsi:type="dcterms:W3CDTF">2015-02-10T17:33:11Z</dcterms:created>
  <dcterms:modified xsi:type="dcterms:W3CDTF">2024-10-24T06:21:37Z</dcterms:modified>
</cp:coreProperties>
</file>